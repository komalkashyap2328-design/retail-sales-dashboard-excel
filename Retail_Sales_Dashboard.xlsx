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c3582a14917b5403/Desktop/Retail_Project/Excel_Files/"/>
    </mc:Choice>
  </mc:AlternateContent>
  <xr:revisionPtr revIDLastSave="11" documentId="8_{77B11870-82F2-48CB-8F5E-2B0AEE35BD13}" xr6:coauthVersionLast="47" xr6:coauthVersionMax="47" xr10:uidLastSave="{530F2837-8FDF-4848-8781-EFBA0DC91FE3}"/>
  <bookViews>
    <workbookView xWindow="-110" yWindow="-110" windowWidth="19420" windowHeight="12220" activeTab="2" xr2:uid="{B8C00B9A-E872-4561-9320-08A3A6613C0F}"/>
  </bookViews>
  <sheets>
    <sheet name="Sheet1" sheetId="2" r:id="rId1"/>
    <sheet name="Sheet2" sheetId="3" r:id="rId2"/>
    <sheet name="Dashboard" sheetId="5" r:id="rId3"/>
    <sheet name="master_dataset" sheetId="1" r:id="rId4"/>
  </sheets>
  <definedNames>
    <definedName name="_xlnm.Print_Area" localSheetId="2">Dashboard!$A$1:$U$26</definedName>
    <definedName name="Slicer_Category">#N/A</definedName>
  </definedNames>
  <calcPr calcId="0"/>
  <pivotCaches>
    <pivotCache cacheId="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28" i="5" l="1"/>
  <c r="A23" i="5"/>
</calcChain>
</file>

<file path=xl/sharedStrings.xml><?xml version="1.0" encoding="utf-8"?>
<sst xmlns="http://schemas.openxmlformats.org/spreadsheetml/2006/main" count="52" uniqueCount="36">
  <si>
    <t>O001</t>
  </si>
  <si>
    <t>Arjun Mehta</t>
  </si>
  <si>
    <t>Consumer</t>
  </si>
  <si>
    <t>Laptop</t>
  </si>
  <si>
    <t>Technology</t>
  </si>
  <si>
    <t>O002</t>
  </si>
  <si>
    <t>Riya Sharma</t>
  </si>
  <si>
    <t>Corporate</t>
  </si>
  <si>
    <t>Mouse</t>
  </si>
  <si>
    <t>O003</t>
  </si>
  <si>
    <t>Karan Patel</t>
  </si>
  <si>
    <t>Home Office</t>
  </si>
  <si>
    <t>Office Chair</t>
  </si>
  <si>
    <t>Furniture</t>
  </si>
  <si>
    <t>O004</t>
  </si>
  <si>
    <t>Neha Verma</t>
  </si>
  <si>
    <t>Notebook</t>
  </si>
  <si>
    <t>Office Supplies</t>
  </si>
  <si>
    <t>O005</t>
  </si>
  <si>
    <t>Aditya Singh</t>
  </si>
  <si>
    <t>Pen Pack</t>
  </si>
  <si>
    <t>O006</t>
  </si>
  <si>
    <t>Pooja Nair</t>
  </si>
  <si>
    <t>O007</t>
  </si>
  <si>
    <t>Order_id</t>
  </si>
  <si>
    <t>Order_date</t>
  </si>
  <si>
    <t>Customer_name</t>
  </si>
  <si>
    <t>Segment</t>
  </si>
  <si>
    <t>Product_name</t>
  </si>
  <si>
    <t>Category</t>
  </si>
  <si>
    <t>Quantity</t>
  </si>
  <si>
    <t>Sales</t>
  </si>
  <si>
    <t>Row Labels</t>
  </si>
  <si>
    <t>Grand Total</t>
  </si>
  <si>
    <t>Sum of Sales</t>
  </si>
  <si>
    <t>Retail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</si>
</sst>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14009]yyyy/mm/dd;@"/>
    <numFmt numFmtId="166" formatCode="&quot;₹&quot;\ #,##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36"/>
      <color theme="1"/>
      <name val="Aptos Narrow"/>
      <family val="2"/>
      <scheme val="minor"/>
    </font>
    <font>
      <sz val="36"/>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5" fontId="0" fillId="0" borderId="0" xfId="0" applyNumberFormat="1"/>
    <xf numFmtId="0" fontId="0" fillId="0" borderId="0" xfId="0" applyAlignment="1">
      <alignment horizontal="right"/>
    </xf>
    <xf numFmtId="0" fontId="0" fillId="0" borderId="0" xfId="0" applyAlignment="1">
      <alignment horizontal="left"/>
    </xf>
    <xf numFmtId="0" fontId="0" fillId="0" borderId="0" xfId="0" applyAlignment="1"/>
    <xf numFmtId="165" fontId="0" fillId="0" borderId="0" xfId="0" applyNumberFormat="1" applyAlignment="1">
      <alignment horizontal="left"/>
    </xf>
    <xf numFmtId="0" fontId="0" fillId="0" borderId="0" xfId="0" pivotButton="1"/>
    <xf numFmtId="0" fontId="0" fillId="0" borderId="0" xfId="0" applyNumberFormat="1"/>
    <xf numFmtId="0" fontId="19" fillId="0" borderId="0" xfId="0" applyFont="1"/>
    <xf numFmtId="166" fontId="20" fillId="33" borderId="0" xfId="0" applyNumberFormat="1" applyFont="1" applyFill="1" applyAlignment="1">
      <alignment horizontal="center" vertical="center"/>
    </xf>
    <xf numFmtId="166" fontId="17"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alignment horizontal="left" vertical="bottom" textRotation="0" wrapText="0" indent="0" justifyLastLine="0" shrinkToFit="0" readingOrder="0"/>
    </dxf>
    <dxf>
      <alignment horizontal="center" vertical="bottom" textRotation="0" wrapText="0" indent="0" justifyLastLine="0" shrinkToFit="0" readingOrder="0"/>
    </dxf>
    <dxf>
      <numFmt numFmtId="165" formatCode="[$-14009]yyyy/mm/dd;@"/>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layout>
        <c:manualLayout>
          <c:xMode val="edge"/>
          <c:yMode val="edge"/>
          <c:x val="0.35740966754155729"/>
          <c:y val="3.67185255689192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914260717410329E-2"/>
          <c:y val="0.16708333333333336"/>
          <c:w val="0.86497462817147852"/>
          <c:h val="0.72125801983085447"/>
        </c:manualLayout>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Sheet1!$A$4:$A$5</c:f>
              <c:strCache>
                <c:ptCount val="1"/>
                <c:pt idx="0">
                  <c:v>Furniture</c:v>
                </c:pt>
              </c:strCache>
            </c:strRef>
          </c:cat>
          <c:val>
            <c:numRef>
              <c:f>Sheet1!$B$4:$B$5</c:f>
              <c:numCache>
                <c:formatCode>General</c:formatCode>
                <c:ptCount val="1"/>
                <c:pt idx="0">
                  <c:v>3500</c:v>
                </c:pt>
              </c:numCache>
            </c:numRef>
          </c:val>
          <c:extLst>
            <c:ext xmlns:c16="http://schemas.microsoft.com/office/drawing/2014/chart" uri="{C3380CC4-5D6E-409C-BE32-E72D297353CC}">
              <c16:uniqueId val="{00000000-B229-4210-A977-2A186D655667}"/>
            </c:ext>
          </c:extLst>
        </c:ser>
        <c:dLbls>
          <c:dLblPos val="outEnd"/>
          <c:showLegendKey val="0"/>
          <c:showVal val="1"/>
          <c:showCatName val="0"/>
          <c:showSerName val="0"/>
          <c:showPercent val="0"/>
          <c:showBubbleSize val="0"/>
        </c:dLbls>
        <c:gapWidth val="219"/>
        <c:overlap val="-27"/>
        <c:axId val="1578341423"/>
        <c:axId val="1578341903"/>
      </c:barChart>
      <c:catAx>
        <c:axId val="157834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341903"/>
        <c:crosses val="autoZero"/>
        <c:auto val="1"/>
        <c:lblAlgn val="ctr"/>
        <c:lblOffset val="100"/>
        <c:noMultiLvlLbl val="0"/>
      </c:catAx>
      <c:valAx>
        <c:axId val="157834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34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[Retail_Sales_Dashboard.xlsx]Sheet2!PivotTable3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Products by Sales</a:t>
            </a:r>
            <a:endParaRPr lang="en-US"/>
          </a:p>
        </c:rich>
      </c:tx>
      <c:layout>
        <c:manualLayout>
          <c:xMode val="edge"/>
          <c:yMode val="edge"/>
          <c:x val="0.3270901137357830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23468941382328"/>
          <c:y val="0.16708333333333336"/>
          <c:w val="0.77765419947506564"/>
          <c:h val="0.72125801983085447"/>
        </c:manualLayout>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Sheet2!$A$4:$A$5</c:f>
              <c:strCache>
                <c:ptCount val="1"/>
                <c:pt idx="0">
                  <c:v>Office Chair</c:v>
                </c:pt>
              </c:strCache>
            </c:strRef>
          </c:cat>
          <c:val>
            <c:numRef>
              <c:f>Sheet2!$B$4:$B$5</c:f>
              <c:numCache>
                <c:formatCode>General</c:formatCode>
                <c:ptCount val="1"/>
                <c:pt idx="0">
                  <c:v>3500</c:v>
                </c:pt>
              </c:numCache>
            </c:numRef>
          </c:val>
          <c:extLst>
            <c:ext xmlns:c16="http://schemas.microsoft.com/office/drawing/2014/chart" uri="{C3380CC4-5D6E-409C-BE32-E72D297353CC}">
              <c16:uniqueId val="{00000000-F824-47AA-B67F-A482151781D3}"/>
            </c:ext>
          </c:extLst>
        </c:ser>
        <c:dLbls>
          <c:dLblPos val="outEnd"/>
          <c:showLegendKey val="0"/>
          <c:showVal val="1"/>
          <c:showCatName val="0"/>
          <c:showSerName val="0"/>
          <c:showPercent val="0"/>
          <c:showBubbleSize val="0"/>
        </c:dLbls>
        <c:gapWidth val="219"/>
        <c:axId val="1691027727"/>
        <c:axId val="1691028687"/>
      </c:barChart>
      <c:catAx>
        <c:axId val="169102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028687"/>
        <c:crosses val="autoZero"/>
        <c:auto val="1"/>
        <c:lblAlgn val="ctr"/>
        <c:lblOffset val="100"/>
        <c:noMultiLvlLbl val="0"/>
      </c:catAx>
      <c:valAx>
        <c:axId val="1691028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02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264175</xdr:colOff>
      <xdr:row>2</xdr:row>
      <xdr:rowOff>123826</xdr:rowOff>
    </xdr:from>
    <xdr:to>
      <xdr:col>6</xdr:col>
      <xdr:colOff>252452</xdr:colOff>
      <xdr:row>18</xdr:row>
      <xdr:rowOff>65617</xdr:rowOff>
    </xdr:to>
    <xdr:graphicFrame macro="">
      <xdr:nvGraphicFramePr>
        <xdr:cNvPr id="2" name="Chart 1">
          <a:extLst>
            <a:ext uri="{FF2B5EF4-FFF2-40B4-BE49-F238E27FC236}">
              <a16:creationId xmlns:a16="http://schemas.microsoft.com/office/drawing/2014/main" id="{0DD44EBB-9453-49DE-B75F-912C4C80C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517973</xdr:colOff>
      <xdr:row>2</xdr:row>
      <xdr:rowOff>104818</xdr:rowOff>
    </xdr:from>
    <xdr:to>
      <xdr:col>14</xdr:col>
      <xdr:colOff>544431</xdr:colOff>
      <xdr:row>18</xdr:row>
      <xdr:rowOff>91588</xdr:rowOff>
    </xdr:to>
    <xdr:graphicFrame macro="">
      <xdr:nvGraphicFramePr>
        <xdr:cNvPr id="3" name="Chart 2">
          <a:extLst>
            <a:ext uri="{FF2B5EF4-FFF2-40B4-BE49-F238E27FC236}">
              <a16:creationId xmlns:a16="http://schemas.microsoft.com/office/drawing/2014/main" id="{494BCD57-B0C1-4134-B61F-19F30F7FC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264583</xdr:colOff>
      <xdr:row>2</xdr:row>
      <xdr:rowOff>158750</xdr:rowOff>
    </xdr:from>
    <xdr:to>
      <xdr:col>19</xdr:col>
      <xdr:colOff>52916</xdr:colOff>
      <xdr:row>18</xdr:row>
      <xdr:rowOff>122116</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C9683A61-79EE-4037-BB83-57F8F95C9D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792883" y="958850"/>
              <a:ext cx="2226733" cy="3011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54803</xdr:colOff>
      <xdr:row>22</xdr:row>
      <xdr:rowOff>43146</xdr:rowOff>
    </xdr:from>
    <xdr:ext cx="3110428" cy="1455209"/>
    <xdr:sp macro="" textlink="A28">
      <xdr:nvSpPr>
        <xdr:cNvPr id="10" name="TextBox 9">
          <a:extLst>
            <a:ext uri="{FF2B5EF4-FFF2-40B4-BE49-F238E27FC236}">
              <a16:creationId xmlns:a16="http://schemas.microsoft.com/office/drawing/2014/main" id="{3EFF78E0-06A2-350A-5306-22A261974186}"/>
            </a:ext>
          </a:extLst>
        </xdr:cNvPr>
        <xdr:cNvSpPr txBox="1"/>
      </xdr:nvSpPr>
      <xdr:spPr>
        <a:xfrm rot="10800000" flipV="1">
          <a:off x="3855034" y="4595608"/>
          <a:ext cx="3110428" cy="1455209"/>
        </a:xfrm>
        <a:prstGeom prst="rect">
          <a:avLst/>
        </a:prstGeom>
        <a:solidFill>
          <a:schemeClr val="bg1">
            <a:lumMod val="95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3A60144-5D72-48D6-A7BE-C38C305467EC}" type="TxLink">
            <a:rPr lang="en-US" sz="4800" b="0" i="0" u="none" strike="noStrike">
              <a:solidFill>
                <a:srgbClr val="000000"/>
              </a:solidFill>
              <a:latin typeface="Aptos Narrow"/>
            </a:rPr>
            <a:t>₹ 3,500</a:t>
          </a:fld>
          <a:endParaRPr lang="en-IN" sz="4800"/>
        </a:p>
      </xdr:txBody>
    </xdr:sp>
    <xdr:clientData/>
  </xdr:oneCellAnchor>
  <xdr:oneCellAnchor>
    <xdr:from>
      <xdr:col>4</xdr:col>
      <xdr:colOff>19538</xdr:colOff>
      <xdr:row>20</xdr:row>
      <xdr:rowOff>87921</xdr:rowOff>
    </xdr:from>
    <xdr:ext cx="3126154" cy="264560"/>
    <xdr:sp macro="" textlink="">
      <xdr:nvSpPr>
        <xdr:cNvPr id="11" name="TextBox 10">
          <a:extLst>
            <a:ext uri="{FF2B5EF4-FFF2-40B4-BE49-F238E27FC236}">
              <a16:creationId xmlns:a16="http://schemas.microsoft.com/office/drawing/2014/main" id="{680FEB89-BF4B-E895-1FF3-231B39CAE7A2}"/>
            </a:ext>
          </a:extLst>
        </xdr:cNvPr>
        <xdr:cNvSpPr txBox="1"/>
      </xdr:nvSpPr>
      <xdr:spPr>
        <a:xfrm>
          <a:off x="3819769" y="4220306"/>
          <a:ext cx="31261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TOTAL SALES </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9.412318634262" createdVersion="8" refreshedVersion="8" minRefreshableVersion="3" recordCount="7" xr:uid="{E14DF91E-FED5-4CD4-A87E-77EA0F395C14}">
  <cacheSource type="worksheet">
    <worksheetSource name="Table1"/>
  </cacheSource>
  <cacheFields count="8">
    <cacheField name="Order_id" numFmtId="0">
      <sharedItems/>
    </cacheField>
    <cacheField name="Order_date" numFmtId="165">
      <sharedItems containsSemiMixedTypes="0" containsNonDate="0" containsDate="1" containsString="0" minDate="2024-01-05T00:00:00" maxDate="2024-01-21T00:00:00"/>
    </cacheField>
    <cacheField name="Customer_name" numFmtId="0">
      <sharedItems/>
    </cacheField>
    <cacheField name="Segment" numFmtId="0">
      <sharedItems/>
    </cacheField>
    <cacheField name="Product_name" numFmtId="0">
      <sharedItems count="5">
        <s v="Laptop"/>
        <s v="Mouse"/>
        <s v="Office Chair"/>
        <s v="Notebook"/>
        <s v="Pen Pack"/>
      </sharedItems>
    </cacheField>
    <cacheField name="Category" numFmtId="0">
      <sharedItems count="3">
        <s v="Technology"/>
        <s v="Furniture"/>
        <s v="Office Supplies"/>
      </sharedItems>
    </cacheField>
    <cacheField name="Quantity" numFmtId="0">
      <sharedItems containsSemiMixedTypes="0" containsString="0" containsNumber="1" containsInteger="1" minValue="1" maxValue="5"/>
    </cacheField>
    <cacheField name="Sales" numFmtId="0">
      <sharedItems containsSemiMixedTypes="0" containsString="0" containsNumber="1" containsInteger="1" minValue="200" maxValue="55000"/>
    </cacheField>
  </cacheFields>
  <extLst>
    <ext xmlns:x14="http://schemas.microsoft.com/office/spreadsheetml/2009/9/main" uri="{725AE2AE-9491-48be-B2B4-4EB974FC3084}">
      <x14:pivotCacheDefinition pivotCacheId="7048395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O001"/>
    <d v="2024-01-05T00:00:00"/>
    <s v="Arjun Mehta"/>
    <s v="Consumer"/>
    <x v="0"/>
    <x v="0"/>
    <n v="1"/>
    <n v="55000"/>
  </r>
  <r>
    <s v="O002"/>
    <d v="2024-01-07T00:00:00"/>
    <s v="Riya Sharma"/>
    <s v="Corporate"/>
    <x v="1"/>
    <x v="0"/>
    <n v="2"/>
    <n v="1000"/>
  </r>
  <r>
    <s v="O003"/>
    <d v="2024-01-10T00:00:00"/>
    <s v="Karan Patel"/>
    <s v="Home Office"/>
    <x v="2"/>
    <x v="1"/>
    <n v="1"/>
    <n v="3500"/>
  </r>
  <r>
    <s v="O004"/>
    <d v="2024-01-12T00:00:00"/>
    <s v="Neha Verma"/>
    <s v="Consumer"/>
    <x v="3"/>
    <x v="2"/>
    <n v="5"/>
    <n v="600"/>
  </r>
  <r>
    <s v="O005"/>
    <d v="2024-01-15T00:00:00"/>
    <s v="Aditya Singh"/>
    <s v="Corporate"/>
    <x v="4"/>
    <x v="2"/>
    <n v="3"/>
    <n v="240"/>
  </r>
  <r>
    <s v="O006"/>
    <d v="2024-01-18T00:00:00"/>
    <s v="Pooja Nair"/>
    <s v="Home Office"/>
    <x v="0"/>
    <x v="0"/>
    <n v="1"/>
    <n v="200"/>
  </r>
  <r>
    <s v="O007"/>
    <d v="2024-01-20T00:00:00"/>
    <s v="Pooja Nair"/>
    <s v="Home Office"/>
    <x v="4"/>
    <x v="2"/>
    <n v="4"/>
    <n v="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2B1ADC-90E9-49A7-B9F5-D276175FB635}"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8">
    <pivotField showAll="0"/>
    <pivotField numFmtId="165" showAll="0"/>
    <pivotField showAll="0"/>
    <pivotField showAll="0"/>
    <pivotField showAll="0"/>
    <pivotField axis="axisRow" showAll="0">
      <items count="4">
        <item x="1"/>
        <item h="1" x="2"/>
        <item h="1" x="0"/>
        <item t="default"/>
      </items>
    </pivotField>
    <pivotField showAll="0"/>
    <pivotField dataField="1" showAll="0"/>
  </pivotFields>
  <rowFields count="1">
    <field x="5"/>
  </rowFields>
  <rowItems count="2">
    <i>
      <x/>
    </i>
    <i t="grand">
      <x/>
    </i>
  </rowItems>
  <colItems count="1">
    <i/>
  </colItems>
  <dataFields count="1">
    <dataField name="Sum of Sales" fld="7"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AD7047-2641-4EA2-808A-3E1929ACAA14}"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8">
    <pivotField showAll="0"/>
    <pivotField numFmtId="165" showAll="0"/>
    <pivotField showAll="0"/>
    <pivotField showAll="0"/>
    <pivotField axis="axisRow" showAll="0" sortType="de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items count="4">
        <item x="1"/>
        <item h="1" x="2"/>
        <item h="1" x="0"/>
        <item t="default"/>
      </items>
    </pivotField>
    <pivotField showAll="0"/>
    <pivotField dataField="1" showAll="0"/>
  </pivotFields>
  <rowFields count="1">
    <field x="4"/>
  </rowFields>
  <rowItems count="2">
    <i>
      <x v="1"/>
    </i>
    <i t="grand">
      <x/>
    </i>
  </rowItems>
  <colItems count="1">
    <i/>
  </colItems>
  <dataFields count="1">
    <dataField name="Sum of Sales" fld="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749934-DC68-4DE7-9574-4EFF4049D208}" sourceName="Category">
  <pivotTables>
    <pivotTable tabId="3" name="PivotTable3"/>
    <pivotTable tabId="2" name="PivotTable2"/>
  </pivotTables>
  <data>
    <tabular pivotCacheId="704839519">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85A6AE3-D59B-488F-A97A-0A649D2D88FC}"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41A39E-EB6B-4DB7-BB5E-2E176C829139}" name="Table1" displayName="Table1" ref="A1:H8" totalsRowShown="0" headerRowDxfId="1">
  <tableColumns count="8">
    <tableColumn id="1" xr3:uid="{769ED99D-F785-481B-9022-BFE5189479D7}" name="Order_id" dataDxfId="3"/>
    <tableColumn id="2" xr3:uid="{F3822690-C4DB-4398-84B6-333D446CDCD9}" name="Order_date" dataDxfId="2"/>
    <tableColumn id="3" xr3:uid="{4666721B-2525-455D-8C67-26C629E460EF}" name="Customer_name"/>
    <tableColumn id="4" xr3:uid="{E1A8AC45-E6CB-4948-9296-A285BDE03195}" name="Segment"/>
    <tableColumn id="5" xr3:uid="{D3C69B84-D1A7-48BE-B83C-C2D5EFFEA2E9}" name="Product_name"/>
    <tableColumn id="6" xr3:uid="{DAC4B3B4-3717-4806-9BF9-43187408A6D2}" name="Category" dataDxfId="0"/>
    <tableColumn id="7" xr3:uid="{EDC8EB68-5398-4A94-8FD6-88AB941EAAC2}" name="Quantity"/>
    <tableColumn id="8" xr3:uid="{C5304CA2-3833-44AA-819A-305DA6DC3D30}" name="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77738-6A2B-424A-9BB9-D70E04D7CC0B}">
  <dimension ref="A3:B5"/>
  <sheetViews>
    <sheetView workbookViewId="0">
      <selection activeCell="I2" sqref="I2"/>
    </sheetView>
  </sheetViews>
  <sheetFormatPr defaultRowHeight="14.5" x14ac:dyDescent="0.35"/>
  <cols>
    <col min="1" max="1" width="12.453125" bestFit="1" customWidth="1"/>
    <col min="2" max="2" width="11.54296875" bestFit="1" customWidth="1"/>
  </cols>
  <sheetData>
    <row r="3" spans="1:2" x14ac:dyDescent="0.35">
      <c r="A3" s="6" t="s">
        <v>32</v>
      </c>
      <c r="B3" t="s">
        <v>34</v>
      </c>
    </row>
    <row r="4" spans="1:2" x14ac:dyDescent="0.35">
      <c r="A4" s="3" t="s">
        <v>13</v>
      </c>
      <c r="B4" s="7">
        <v>3500</v>
      </c>
    </row>
    <row r="5" spans="1:2" x14ac:dyDescent="0.35">
      <c r="A5" s="3" t="s">
        <v>33</v>
      </c>
      <c r="B5" s="7">
        <v>3500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79CBD-FD74-4026-BF9B-382BBD0F4EFC}">
  <dimension ref="A3:B5"/>
  <sheetViews>
    <sheetView workbookViewId="0">
      <selection activeCell="B7" sqref="B7"/>
    </sheetView>
  </sheetViews>
  <sheetFormatPr defaultRowHeight="14.5" x14ac:dyDescent="0.35"/>
  <cols>
    <col min="1" max="1" width="12.453125" bestFit="1" customWidth="1"/>
    <col min="2" max="2" width="11.54296875" bestFit="1" customWidth="1"/>
  </cols>
  <sheetData>
    <row r="3" spans="1:2" x14ac:dyDescent="0.35">
      <c r="A3" s="6" t="s">
        <v>32</v>
      </c>
      <c r="B3" t="s">
        <v>34</v>
      </c>
    </row>
    <row r="4" spans="1:2" x14ac:dyDescent="0.35">
      <c r="A4" s="3" t="s">
        <v>12</v>
      </c>
      <c r="B4" s="7">
        <v>3500</v>
      </c>
    </row>
    <row r="5" spans="1:2" x14ac:dyDescent="0.35">
      <c r="A5" s="3" t="s">
        <v>33</v>
      </c>
      <c r="B5" s="7">
        <v>3500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BE55E-115E-45F7-9846-EDA024F3D18D}">
  <sheetPr>
    <pageSetUpPr fitToPage="1"/>
  </sheetPr>
  <dimension ref="A2:C28"/>
  <sheetViews>
    <sheetView showGridLines="0" tabSelected="1" zoomScale="50" workbookViewId="0">
      <selection activeCell="AA6" sqref="AA6"/>
    </sheetView>
  </sheetViews>
  <sheetFormatPr defaultRowHeight="14.5" x14ac:dyDescent="0.35"/>
  <cols>
    <col min="1" max="1" width="22" bestFit="1" customWidth="1"/>
    <col min="2" max="2" width="12.453125" customWidth="1"/>
    <col min="4" max="4" width="11.36328125" bestFit="1" customWidth="1"/>
  </cols>
  <sheetData>
    <row r="2" spans="2:2" ht="47.5" x14ac:dyDescent="1.1000000000000001">
      <c r="B2" s="8" t="s">
        <v>35</v>
      </c>
    </row>
    <row r="23" spans="1:3" ht="47.5" customHeight="1" x14ac:dyDescent="0.35">
      <c r="A23" s="9">
        <f>GETPIVOTDATA("Sales",Sheet2!$A$3)</f>
        <v>3500</v>
      </c>
      <c r="B23" s="9"/>
      <c r="C23" s="9"/>
    </row>
    <row r="24" spans="1:3" ht="47.5" customHeight="1" x14ac:dyDescent="0.35">
      <c r="A24" s="9"/>
      <c r="B24" s="9"/>
      <c r="C24" s="9"/>
    </row>
    <row r="25" spans="1:3" ht="47.5" customHeight="1" x14ac:dyDescent="0.35">
      <c r="A25" s="9"/>
      <c r="B25" s="9"/>
      <c r="C25" s="9"/>
    </row>
    <row r="26" spans="1:3" ht="47.5" customHeight="1" x14ac:dyDescent="0.35">
      <c r="A26" s="9"/>
      <c r="B26" s="9"/>
      <c r="C26" s="9"/>
    </row>
    <row r="28" spans="1:3" x14ac:dyDescent="0.35">
      <c r="A28" s="10">
        <f>GETPIVOTDATA("Sales",Sheet2!$A$3)</f>
        <v>3500</v>
      </c>
    </row>
  </sheetData>
  <mergeCells count="1">
    <mergeCell ref="A23:C26"/>
  </mergeCells>
  <pageMargins left="0.7" right="0.7" top="0.75" bottom="0.75" header="0.3" footer="0.3"/>
  <pageSetup paperSize="9" scale="43" orientation="portrait" horizontalDpi="0" verticalDpi="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C2559-481B-4103-B9CE-B601140C2B58}">
  <dimension ref="A1:H8"/>
  <sheetViews>
    <sheetView workbookViewId="0">
      <selection activeCell="A2" sqref="A2:H8"/>
    </sheetView>
  </sheetViews>
  <sheetFormatPr defaultRowHeight="14.5" x14ac:dyDescent="0.35"/>
  <cols>
    <col min="1" max="1" width="9.6328125" customWidth="1"/>
    <col min="2" max="2" width="12.26953125" style="1" bestFit="1" customWidth="1"/>
    <col min="3" max="3" width="16.26953125" customWidth="1"/>
    <col min="4" max="4" width="12.7265625" bestFit="1" customWidth="1"/>
    <col min="5" max="5" width="15.26953125" bestFit="1" customWidth="1"/>
    <col min="6" max="6" width="13" bestFit="1" customWidth="1"/>
    <col min="7" max="7" width="10.26953125" bestFit="1" customWidth="1"/>
  </cols>
  <sheetData>
    <row r="1" spans="1:8" x14ac:dyDescent="0.35">
      <c r="A1" t="s">
        <v>24</v>
      </c>
      <c r="B1" s="5" t="s">
        <v>25</v>
      </c>
      <c r="C1" s="3" t="s">
        <v>26</v>
      </c>
      <c r="D1" s="4" t="s">
        <v>27</v>
      </c>
      <c r="E1" s="4" t="s">
        <v>28</v>
      </c>
      <c r="F1" s="3" t="s">
        <v>29</v>
      </c>
      <c r="G1" s="3" t="s">
        <v>30</v>
      </c>
      <c r="H1" s="3" t="s">
        <v>31</v>
      </c>
    </row>
    <row r="2" spans="1:8" x14ac:dyDescent="0.35">
      <c r="A2" s="2" t="s">
        <v>0</v>
      </c>
      <c r="B2" s="1">
        <v>45296</v>
      </c>
      <c r="C2" t="s">
        <v>1</v>
      </c>
      <c r="D2" t="s">
        <v>2</v>
      </c>
      <c r="E2" t="s">
        <v>3</v>
      </c>
      <c r="F2" s="3" t="s">
        <v>4</v>
      </c>
      <c r="G2">
        <v>1</v>
      </c>
      <c r="H2">
        <v>55000</v>
      </c>
    </row>
    <row r="3" spans="1:8" x14ac:dyDescent="0.35">
      <c r="A3" s="2" t="s">
        <v>5</v>
      </c>
      <c r="B3" s="1">
        <v>45298</v>
      </c>
      <c r="C3" t="s">
        <v>6</v>
      </c>
      <c r="D3" t="s">
        <v>7</v>
      </c>
      <c r="E3" t="s">
        <v>8</v>
      </c>
      <c r="F3" s="3" t="s">
        <v>4</v>
      </c>
      <c r="G3">
        <v>2</v>
      </c>
      <c r="H3">
        <v>1000</v>
      </c>
    </row>
    <row r="4" spans="1:8" x14ac:dyDescent="0.35">
      <c r="A4" s="2" t="s">
        <v>9</v>
      </c>
      <c r="B4" s="1">
        <v>45301</v>
      </c>
      <c r="C4" t="s">
        <v>10</v>
      </c>
      <c r="D4" t="s">
        <v>11</v>
      </c>
      <c r="E4" t="s">
        <v>12</v>
      </c>
      <c r="F4" s="3" t="s">
        <v>13</v>
      </c>
      <c r="G4">
        <v>1</v>
      </c>
      <c r="H4">
        <v>3500</v>
      </c>
    </row>
    <row r="5" spans="1:8" x14ac:dyDescent="0.35">
      <c r="A5" s="2" t="s">
        <v>14</v>
      </c>
      <c r="B5" s="1">
        <v>45303</v>
      </c>
      <c r="C5" t="s">
        <v>15</v>
      </c>
      <c r="D5" t="s">
        <v>2</v>
      </c>
      <c r="E5" t="s">
        <v>16</v>
      </c>
      <c r="F5" s="3" t="s">
        <v>17</v>
      </c>
      <c r="G5">
        <v>5</v>
      </c>
      <c r="H5">
        <v>600</v>
      </c>
    </row>
    <row r="6" spans="1:8" x14ac:dyDescent="0.35">
      <c r="A6" s="2" t="s">
        <v>18</v>
      </c>
      <c r="B6" s="1">
        <v>45306</v>
      </c>
      <c r="C6" t="s">
        <v>19</v>
      </c>
      <c r="D6" t="s">
        <v>7</v>
      </c>
      <c r="E6" t="s">
        <v>20</v>
      </c>
      <c r="F6" s="3" t="s">
        <v>17</v>
      </c>
      <c r="G6">
        <v>3</v>
      </c>
      <c r="H6">
        <v>240</v>
      </c>
    </row>
    <row r="7" spans="1:8" x14ac:dyDescent="0.35">
      <c r="A7" s="2" t="s">
        <v>21</v>
      </c>
      <c r="B7" s="1">
        <v>45309</v>
      </c>
      <c r="C7" t="s">
        <v>22</v>
      </c>
      <c r="D7" t="s">
        <v>11</v>
      </c>
      <c r="E7" t="s">
        <v>3</v>
      </c>
      <c r="F7" s="3" t="s">
        <v>4</v>
      </c>
      <c r="G7">
        <v>1</v>
      </c>
      <c r="H7">
        <v>200</v>
      </c>
    </row>
    <row r="8" spans="1:8" x14ac:dyDescent="0.35">
      <c r="A8" s="2" t="s">
        <v>23</v>
      </c>
      <c r="B8" s="1">
        <v>45311</v>
      </c>
      <c r="C8" t="s">
        <v>22</v>
      </c>
      <c r="D8" t="s">
        <v>11</v>
      </c>
      <c r="E8" t="s">
        <v>20</v>
      </c>
      <c r="F8" s="3" t="s">
        <v>17</v>
      </c>
      <c r="G8">
        <v>4</v>
      </c>
      <c r="H8">
        <v>600</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Sheet1</vt:lpstr>
      <vt:lpstr>Sheet2</vt:lpstr>
      <vt:lpstr>Dashboard</vt:lpstr>
      <vt:lpstr>master_dataset</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KOMALKRISH</dc:creator>
  <cp:lastModifiedBy>Komal Kashyap</cp:lastModifiedBy>
  <cp:lastPrinted>2026-02-17T15:30:09Z</cp:lastPrinted>
  <dcterms:created xsi:type="dcterms:W3CDTF">2026-02-16T04:18:41Z</dcterms:created>
  <dcterms:modified xsi:type="dcterms:W3CDTF">2026-02-17T15:31:29Z</dcterms:modified>
</cp:coreProperties>
</file>